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n-demand Transport Service\Analysis\6_Agent-based Modelling\B_ABM (TW)\"/>
    </mc:Choice>
  </mc:AlternateContent>
  <xr:revisionPtr revIDLastSave="0" documentId="13_ncr:1_{862A355F-8634-4FFB-BE70-868733B0E740}" xr6:coauthVersionLast="47" xr6:coauthVersionMax="47" xr10:uidLastSave="{00000000-0000-0000-0000-000000000000}"/>
  <bookViews>
    <workbookView xWindow="-96" yWindow="0" windowWidth="11712" windowHeight="12336" xr2:uid="{98BA68C0-51A8-4D9D-9D65-E521A363A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I9" i="1"/>
  <c r="C9" i="1"/>
  <c r="B9" i="1"/>
  <c r="C6" i="1"/>
  <c r="D6" i="1"/>
  <c r="E6" i="1"/>
  <c r="F6" i="1"/>
  <c r="G6" i="1"/>
  <c r="H6" i="1"/>
  <c r="I6" i="1"/>
  <c r="B7" i="1"/>
  <c r="B8" i="1" s="1"/>
  <c r="B6" i="1"/>
  <c r="C7" i="1"/>
  <c r="D7" i="1"/>
  <c r="E7" i="1"/>
  <c r="F7" i="1"/>
  <c r="G7" i="1"/>
  <c r="H7" i="1"/>
  <c r="I7" i="1"/>
  <c r="C5" i="1"/>
  <c r="D5" i="1"/>
  <c r="E5" i="1"/>
  <c r="F5" i="1"/>
  <c r="G5" i="1"/>
  <c r="H5" i="1"/>
  <c r="I5" i="1"/>
  <c r="B5" i="1"/>
  <c r="E8" i="1" l="1"/>
  <c r="D8" i="1"/>
  <c r="I8" i="1"/>
  <c r="H8" i="1"/>
  <c r="F8" i="1"/>
  <c r="C8" i="1"/>
  <c r="G8" i="1"/>
</calcChain>
</file>

<file path=xl/sharedStrings.xml><?xml version="1.0" encoding="utf-8"?>
<sst xmlns="http://schemas.openxmlformats.org/spreadsheetml/2006/main" count="23" uniqueCount="23">
  <si>
    <t>Number of passengers</t>
  </si>
  <si>
    <t>Vehicle kilometres travelled</t>
  </si>
  <si>
    <t>Revenue</t>
    <phoneticPr fontId="1" type="noConversion"/>
  </si>
  <si>
    <t>Fare</t>
    <phoneticPr fontId="1" type="noConversion"/>
  </si>
  <si>
    <t>Hour</t>
    <phoneticPr fontId="1" type="noConversion"/>
  </si>
  <si>
    <t>Wage</t>
    <phoneticPr fontId="1" type="noConversion"/>
  </si>
  <si>
    <t>Labour Cost</t>
    <phoneticPr fontId="1" type="noConversion"/>
  </si>
  <si>
    <t>Fuel Cost</t>
    <phoneticPr fontId="1" type="noConversion"/>
  </si>
  <si>
    <t>Fuel</t>
    <phoneticPr fontId="1" type="noConversion"/>
  </si>
  <si>
    <t>Profit/Subsidy</t>
    <phoneticPr fontId="1" type="noConversion"/>
  </si>
  <si>
    <t>Driver</t>
    <phoneticPr fontId="1" type="noConversion"/>
  </si>
  <si>
    <t>Monthly Wage</t>
    <phoneticPr fontId="1" type="noConversion"/>
  </si>
  <si>
    <t>Day</t>
    <phoneticPr fontId="1" type="noConversion"/>
  </si>
  <si>
    <t>Scenario</t>
    <phoneticPr fontId="1" type="noConversion"/>
  </si>
  <si>
    <t>Buf_200_2</t>
    <phoneticPr fontId="1" type="noConversion"/>
  </si>
  <si>
    <t>Buf_200_3</t>
    <phoneticPr fontId="1" type="noConversion"/>
  </si>
  <si>
    <t>Buf_200_4</t>
    <phoneticPr fontId="1" type="noConversion"/>
  </si>
  <si>
    <t>Buf_200_5</t>
    <phoneticPr fontId="1" type="noConversion"/>
  </si>
  <si>
    <t>Buf_500_2</t>
    <phoneticPr fontId="1" type="noConversion"/>
  </si>
  <si>
    <t>Buf_500_3</t>
    <phoneticPr fontId="1" type="noConversion"/>
  </si>
  <si>
    <t>Buf_500_5</t>
    <phoneticPr fontId="1" type="noConversion"/>
  </si>
  <si>
    <t>Buf_500_4</t>
    <phoneticPr fontId="1" type="noConversion"/>
  </si>
  <si>
    <t>KMCost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</si>
</sst>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.0_-;\-* #,##0.0_-;_-* &quot;-&quot;??_-;_-@_-"/>
    <numFmt numFmtId="177" formatCode="_-* #,##0_-;\-* #,##0_-;_-* &quot;-&quot;??_-;_-@_-"/>
    <numFmt numFmtId="180" formatCode="0.0"/>
  </numFmts>
  <fonts count="3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7" fontId="0" fillId="0" borderId="0" xfId="1" applyNumberFormat="1" applyFont="1">
      <alignment vertical="center"/>
    </xf>
    <xf numFmtId="180" fontId="0" fillId="0" borderId="0" xfId="0" applyNumberForma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2FA1-84F4-4587-8A20-F500956055CC}">
  <dimension ref="A1:M9"/>
  <sheetViews>
    <sheetView tabSelected="1" workbookViewId="0">
      <selection activeCell="G6" sqref="G6"/>
    </sheetView>
  </sheetViews>
  <sheetFormatPr defaultRowHeight="15" x14ac:dyDescent="0.3"/>
  <cols>
    <col min="1" max="1" width="26.375" customWidth="1"/>
    <col min="2" max="9" width="10" bestFit="1" customWidth="1"/>
  </cols>
  <sheetData>
    <row r="1" spans="1:13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21</v>
      </c>
      <c r="I1" t="s">
        <v>20</v>
      </c>
    </row>
    <row r="2" spans="1:13" x14ac:dyDescent="0.3">
      <c r="A2" t="s">
        <v>0</v>
      </c>
      <c r="B2" s="2">
        <v>37</v>
      </c>
      <c r="C2" s="2">
        <v>37</v>
      </c>
      <c r="D2" s="2">
        <v>37</v>
      </c>
      <c r="E2" s="2">
        <v>37</v>
      </c>
      <c r="F2" s="2">
        <v>35</v>
      </c>
      <c r="G2" s="2">
        <v>42</v>
      </c>
      <c r="H2" s="2">
        <v>42</v>
      </c>
      <c r="I2" s="2">
        <v>42</v>
      </c>
      <c r="L2" t="s">
        <v>3</v>
      </c>
      <c r="M2">
        <v>20</v>
      </c>
    </row>
    <row r="3" spans="1:13" x14ac:dyDescent="0.3">
      <c r="A3" t="s">
        <v>1</v>
      </c>
      <c r="B3" s="1">
        <v>219.4</v>
      </c>
      <c r="C3" s="1">
        <v>228.4</v>
      </c>
      <c r="D3" s="1">
        <v>224.1</v>
      </c>
      <c r="E3" s="1">
        <v>224.1</v>
      </c>
      <c r="F3" s="1">
        <v>233.6</v>
      </c>
      <c r="G3" s="1">
        <v>273</v>
      </c>
      <c r="H3" s="1">
        <v>269.89999999999998</v>
      </c>
      <c r="I3" s="1">
        <v>262.5</v>
      </c>
      <c r="L3" t="s">
        <v>4</v>
      </c>
      <c r="M3">
        <v>13</v>
      </c>
    </row>
    <row r="4" spans="1:13" x14ac:dyDescent="0.3">
      <c r="A4" t="s">
        <v>10</v>
      </c>
      <c r="B4" s="2">
        <v>2</v>
      </c>
      <c r="C4" s="2">
        <v>3</v>
      </c>
      <c r="D4" s="2">
        <v>4</v>
      </c>
      <c r="E4" s="2">
        <v>5</v>
      </c>
      <c r="F4" s="2">
        <v>2</v>
      </c>
      <c r="G4" s="2">
        <v>3</v>
      </c>
      <c r="H4" s="2">
        <v>4</v>
      </c>
      <c r="I4" s="2">
        <v>5</v>
      </c>
      <c r="L4" t="s">
        <v>5</v>
      </c>
      <c r="M4">
        <v>350</v>
      </c>
    </row>
    <row r="5" spans="1:13" x14ac:dyDescent="0.3">
      <c r="A5" t="s">
        <v>2</v>
      </c>
      <c r="B5" s="2">
        <f>B$2*$M$2</f>
        <v>740</v>
      </c>
      <c r="C5" s="2">
        <f t="shared" ref="C5:I5" si="0">C$2*$M$2</f>
        <v>740</v>
      </c>
      <c r="D5" s="2">
        <f t="shared" si="0"/>
        <v>740</v>
      </c>
      <c r="E5" s="2">
        <f t="shared" si="0"/>
        <v>740</v>
      </c>
      <c r="F5" s="2">
        <f t="shared" si="0"/>
        <v>700</v>
      </c>
      <c r="G5" s="2">
        <f t="shared" si="0"/>
        <v>840</v>
      </c>
      <c r="H5" s="2">
        <f t="shared" si="0"/>
        <v>840</v>
      </c>
      <c r="I5" s="2">
        <f t="shared" si="0"/>
        <v>840</v>
      </c>
      <c r="L5" t="s">
        <v>8</v>
      </c>
      <c r="M5">
        <v>6.5</v>
      </c>
    </row>
    <row r="6" spans="1:13" x14ac:dyDescent="0.3">
      <c r="A6" t="s">
        <v>6</v>
      </c>
      <c r="B6" s="2">
        <f>B$4*($M$6/$M$7)</f>
        <v>2666.6666666666665</v>
      </c>
      <c r="C6" s="2">
        <f t="shared" ref="C6:I6" si="1">C$4*($M$6/$M$7)</f>
        <v>4000</v>
      </c>
      <c r="D6" s="2">
        <f t="shared" si="1"/>
        <v>5333.333333333333</v>
      </c>
      <c r="E6" s="2">
        <f t="shared" si="1"/>
        <v>6666.6666666666661</v>
      </c>
      <c r="F6" s="2">
        <f t="shared" si="1"/>
        <v>2666.6666666666665</v>
      </c>
      <c r="G6" s="2">
        <f t="shared" si="1"/>
        <v>4000</v>
      </c>
      <c r="H6" s="2">
        <f t="shared" si="1"/>
        <v>5333.333333333333</v>
      </c>
      <c r="I6" s="2">
        <f t="shared" si="1"/>
        <v>6666.6666666666661</v>
      </c>
      <c r="L6" t="s">
        <v>11</v>
      </c>
      <c r="M6">
        <v>40000</v>
      </c>
    </row>
    <row r="7" spans="1:13" x14ac:dyDescent="0.3">
      <c r="A7" t="s">
        <v>7</v>
      </c>
      <c r="B7" s="2">
        <f>B3*$M$5</f>
        <v>1426.1000000000001</v>
      </c>
      <c r="C7" s="2">
        <f t="shared" ref="C7:I7" si="2">C3*$M$5</f>
        <v>1484.6000000000001</v>
      </c>
      <c r="D7" s="2">
        <f t="shared" si="2"/>
        <v>1456.6499999999999</v>
      </c>
      <c r="E7" s="2">
        <f t="shared" si="2"/>
        <v>1456.6499999999999</v>
      </c>
      <c r="F7" s="2">
        <f t="shared" si="2"/>
        <v>1518.3999999999999</v>
      </c>
      <c r="G7" s="2">
        <f t="shared" si="2"/>
        <v>1774.5</v>
      </c>
      <c r="H7" s="2">
        <f t="shared" si="2"/>
        <v>1754.35</v>
      </c>
      <c r="I7" s="2">
        <f t="shared" si="2"/>
        <v>1706.25</v>
      </c>
      <c r="L7" t="s">
        <v>12</v>
      </c>
      <c r="M7">
        <v>30</v>
      </c>
    </row>
    <row r="8" spans="1:13" x14ac:dyDescent="0.3">
      <c r="A8" t="s">
        <v>9</v>
      </c>
      <c r="B8" s="2">
        <f>B5-(B6+B7)</f>
        <v>-3352.7666666666664</v>
      </c>
      <c r="C8" s="2">
        <f t="shared" ref="C8:I8" si="3">C5-(C6+C7)</f>
        <v>-4744.6000000000004</v>
      </c>
      <c r="D8" s="2">
        <f t="shared" si="3"/>
        <v>-6049.9833333333327</v>
      </c>
      <c r="E8" s="2">
        <f t="shared" si="3"/>
        <v>-7383.3166666666657</v>
      </c>
      <c r="F8" s="2">
        <f t="shared" si="3"/>
        <v>-3485.0666666666666</v>
      </c>
      <c r="G8" s="2">
        <f t="shared" si="3"/>
        <v>-4934.5</v>
      </c>
      <c r="H8" s="2">
        <f t="shared" si="3"/>
        <v>-6247.6833333333325</v>
      </c>
      <c r="I8" s="2">
        <f t="shared" si="3"/>
        <v>-7532.9166666666661</v>
      </c>
    </row>
    <row r="9" spans="1:13" x14ac:dyDescent="0.3">
      <c r="A9" t="s">
        <v>22</v>
      </c>
      <c r="B9" s="3">
        <f>(B6+B7)/B3</f>
        <v>18.654360376785171</v>
      </c>
      <c r="C9" s="3">
        <f>(C6+C7)/C3</f>
        <v>24.013134851138354</v>
      </c>
      <c r="D9" s="3">
        <f>(D6+D7)/D3</f>
        <v>30.29889930090733</v>
      </c>
      <c r="E9" s="3">
        <f>(E6+E7)/E3</f>
        <v>36.24862412613416</v>
      </c>
      <c r="F9" s="3">
        <f>(F6+F7)/F3</f>
        <v>17.915525114155251</v>
      </c>
      <c r="G9" s="3">
        <f>(G6+G7)/G3</f>
        <v>21.152014652014653</v>
      </c>
      <c r="H9" s="3">
        <f>(H6+H7)/H3</f>
        <v>26.26040508830431</v>
      </c>
      <c r="I9" s="3">
        <f>(I6+I7)/I3</f>
        <v>31.896825396825395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Chia-jung Yeh</dc:creator>
  <cp:lastModifiedBy>Chia-jung Yeh</cp:lastModifiedBy>
  <dcterms:created xsi:type="dcterms:W3CDTF">2026-10-18T05:18:41Z</dcterms:created>
  <dcterms:modified xsi:type="dcterms:W3CDTF">2026-10-18T11:31:57Z</dcterms:modified>
</cp:coreProperties>
</file>